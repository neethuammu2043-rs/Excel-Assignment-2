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ENTRY\"/>
    </mc:Choice>
  </mc:AlternateContent>
  <xr:revisionPtr revIDLastSave="0" documentId="13_ncr:1_{3D81EF07-43B1-4E2C-8980-5AB7580C4C6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Answer" sheetId="4" r:id="rId3"/>
  </sheets>
  <calcPr calcId="191029"/>
  <pivotCaches>
    <pivotCache cacheId="25" r:id="rId4"/>
  </pivotCaches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6" i="4" l="1"/>
  <c r="G3" i="4"/>
  <c r="G4" i="4"/>
  <c r="G5" i="4"/>
  <c r="G7" i="4"/>
  <c r="G8" i="4"/>
  <c r="G9" i="4"/>
  <c r="G10" i="4"/>
  <c r="G11" i="4"/>
  <c r="G12" i="4"/>
  <c r="G15" i="4"/>
  <c r="G16" i="4"/>
  <c r="G17" i="4"/>
  <c r="G18" i="4"/>
  <c r="G19" i="4"/>
  <c r="G20" i="4"/>
  <c r="G21" i="4"/>
  <c r="G22" i="4"/>
  <c r="G23" i="4"/>
  <c r="G25" i="4"/>
  <c r="G26" i="4"/>
  <c r="G27" i="4"/>
  <c r="G28" i="4"/>
  <c r="G29" i="4"/>
  <c r="G30" i="4"/>
  <c r="G31" i="4"/>
  <c r="G32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2" i="4"/>
  <c r="J33" i="4"/>
  <c r="J34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33" i="4"/>
  <c r="I33" i="4" s="1"/>
  <c r="M33" i="4" s="1"/>
  <c r="H34" i="4"/>
  <c r="I34" i="4" s="1"/>
  <c r="M34" i="4" s="1"/>
  <c r="M35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36" i="4"/>
  <c r="C3" i="4" l="1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2" i="4" l="1"/>
  <c r="D2" i="4" s="1"/>
</calcChain>
</file>

<file path=xl/sharedStrings.xml><?xml version="1.0" encoding="utf-8"?>
<sst xmlns="http://schemas.openxmlformats.org/spreadsheetml/2006/main" count="334" uniqueCount="133">
  <si>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</si>
  <si>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</si>
  <si>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</si>
  <si>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</si>
  <si>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</si>
  <si>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</si>
  <si>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</si>
  <si>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</si>
  <si>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</si>
  <si>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</si>
  <si>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</si>
  <si>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</si>
  <si>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</si>
  <si>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</si>
  <si>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</si>
  <si>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</si>
  <si>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</si>
  <si>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</si>
  <si>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</si>
  <si>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</si>
  <si>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</si>
  <si>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</si>
  <si>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</si>
  <si>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</si>
  <si>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</si>
  <si>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</si>
  <si>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</si>
  <si>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</si>
  <si>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</si>
  <si>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</si>
  <si>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</si>
  <si>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</si>
  <si>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</si>
  <si>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</si>
  <si>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</si>
  <si>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</si>
  <si>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</si>
  <si>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</si>
  <si>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</si>
  <si>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</si>
  <si>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</si>
  <si>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</si>
  <si>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</si>
  <si>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</si>
  <si>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</si>
  <si>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</si>
  <si>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</si>
  <si>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</si>
  <si>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</si>
  <si>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</si>
  <si>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</si>
  <si>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</si>
  <si>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</si>
  <si>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</si>
  <si>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</si>
  <si>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</si>
  <si>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</si>
  <si>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</si>
  <si>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</si>
  <si>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</si>
  <si>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</si>
  <si>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</si>
  <si>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</si>
  <si>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</si>
  <si>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</si>
  <si>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</si>
  <si>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</si>
  <si>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</si>
  <si>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</si>
  <si>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</si>
  <si>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</si>
  <si>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</si>
  <si>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</si>
  <si>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</si>
  <si>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</si>
  <si>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</si>
  <si>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</si>
  <si>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</si>
  <si>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</si>
  <si>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</si>
  <si>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</si>
  <si>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</si>
  <si>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</si>
  <si>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</si>
  <si>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</si>
  <si>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</si>
  <si>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</si>
  <si>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</si>
  <si>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</si>
  <si>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</si>
  <si>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</si>
  <si>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</si>
  <si>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</si>
  <si>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</si>
  <si>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</si>
  <si>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</si>
  <si>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</si>
  <si>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</si>
  <si>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</si>
  <si>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</si>
  <si>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</si>
  <si>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</si>
  <si>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</si>
  <si>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</si>
  <si>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</si>
  <si>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</si>
  <si>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</si>
  <si>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</si>
  <si>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</si>
  <si>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</si>
  <si>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</si>
  <si>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</si>
  <si>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</si>
  <si>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</si>
  <si>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</si>
  <si>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</si>
  <si>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</si>
  <si>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</si>
  <si>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DONE</t>
  </si>
  <si>
    <t>Impute by searching price from google or keep unknown</t>
  </si>
  <si>
    <t>Missing value in price</t>
  </si>
  <si>
    <t>Missing value in category</t>
  </si>
  <si>
    <t>Impute from google or keep unknown</t>
  </si>
  <si>
    <t>Sentence case done using proper function and extra space removed using trim function</t>
  </si>
  <si>
    <t>Row Labels</t>
  </si>
  <si>
    <t>Grand Total</t>
  </si>
  <si>
    <t xml:space="preserve">Sentence case done using proper function </t>
  </si>
  <si>
    <t>yes. Electroni was a typo. It is replaced as electronics. Pivot table also used to identify</t>
  </si>
  <si>
    <t xml:space="preserve">3 duplicates are identified </t>
  </si>
  <si>
    <t>Done</t>
  </si>
  <si>
    <t>Product brand</t>
  </si>
  <si>
    <t>Product name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</si>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</sst>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6" formatCode="[$-14009]dd/mm/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165" fontId="5" fillId="0" borderId="0" xfId="0" applyNumberFormat="1" applyFont="1"/>
    <xf numFmtId="165" fontId="5" fillId="3" borderId="0" xfId="0" applyNumberFormat="1" applyFont="1" applyFill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10" fillId="4" borderId="0" xfId="0" applyFont="1" applyFill="1"/>
    <xf numFmtId="0" fontId="8" fillId="0" borderId="0" xfId="0" applyFont="1"/>
    <xf numFmtId="165" fontId="8" fillId="3" borderId="0" xfId="0" applyNumberFormat="1" applyFont="1" applyFill="1"/>
    <xf numFmtId="0" fontId="8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8" fillId="4" borderId="0" xfId="0" applyFont="1" applyFill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7"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thu RS" refreshedDate="46320.849106250003" createdVersion="8" refreshedVersion="8" minRefreshableVersion="3" recordCount="34" xr:uid="{96E00513-7125-4A39-8175-A15CE2D34430}">
  <cacheSource type="worksheet">
    <worksheetSource ref="A33:E66" sheet="Answer"/>
  </cacheSource>
  <cacheFields count="6">
    <cacheField name="Product ID" numFmtId="0">
      <sharedItems/>
    </cacheField>
    <cacheField name="Product Name" numFmtId="0">
      <sharedItems count="21">
        <s v="laptop"/>
        <s v="Sneakers"/>
        <s v="Coffee Maker"/>
        <s v="smartphone"/>
        <s v="Backpack"/>
        <s v="Headphones"/>
        <s v="T-shirt"/>
        <s v="Blender"/>
        <s v="Tablet"/>
        <s v="Hiking Boots"/>
        <s v="Smartwatch"/>
        <s v="Laptop Bag"/>
        <s v="Sunglasses"/>
        <s v="Camping Tent"/>
        <s v="Camera"/>
        <s v="Microwave"/>
        <s v="Fitness Tracker"/>
        <s v="Dress"/>
        <s v="Toaster"/>
        <s v="Jeans"/>
        <s v="Watch"/>
      </sharedItems>
    </cacheField>
    <cacheField name="Brand Name" numFmtId="0">
      <sharedItems/>
    </cacheField>
    <cacheField name="Price ($)" numFmtId="0">
      <sharedItems containsMixedTypes="1" containsNumber="1" containsInteger="1" minValue="30" maxValue="1000"/>
    </cacheField>
    <cacheField name="Quantity" numFmtId="0">
      <sharedItems containsSemiMixedTypes="0" containsString="0" containsNumber="1" containsInteger="1" minValue="5" maxValue="50"/>
    </cacheField>
    <cacheField name="Category" numFmtId="0">
      <sharedItems count="7">
        <s v="Electronics"/>
        <s v="Fashion"/>
        <s v="Kitchen"/>
        <s v="unknown"/>
        <s v="Electroni"/>
        <s v="Outdoor"/>
        <s v="Accessori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28-JAN-US"/>
    <x v="0"/>
    <s v="Dell"/>
    <n v="1000"/>
    <n v="30"/>
    <x v="0"/>
  </r>
  <r>
    <s v="15-FEB-US"/>
    <x v="1"/>
    <s v="Nike"/>
    <n v="80"/>
    <n v="15"/>
    <x v="1"/>
  </r>
  <r>
    <s v="03-MAR-US"/>
    <x v="2"/>
    <s v="Keurig"/>
    <n v="130"/>
    <n v="40"/>
    <x v="2"/>
  </r>
  <r>
    <s v="11-APR-US"/>
    <x v="3"/>
    <s v="Samsung"/>
    <n v="900"/>
    <n v="25"/>
    <x v="0"/>
  </r>
  <r>
    <s v="22-MAY-US"/>
    <x v="4"/>
    <s v="North Face"/>
    <n v="70"/>
    <n v="20"/>
    <x v="3"/>
  </r>
  <r>
    <s v="07-JUN-UK"/>
    <x v="5"/>
    <s v="Sony"/>
    <s v="unknown"/>
    <n v="45"/>
    <x v="4"/>
  </r>
  <r>
    <s v="19-JUL-UK"/>
    <x v="6"/>
    <s v="Adidas"/>
    <n v="30"/>
    <n v="5"/>
    <x v="1"/>
  </r>
  <r>
    <s v="23-AUG-UK"/>
    <x v="7"/>
    <s v="Ninja"/>
    <n v="90"/>
    <n v="35"/>
    <x v="2"/>
  </r>
  <r>
    <s v="05-SEP-UK"/>
    <x v="8"/>
    <s v="Apple"/>
    <n v="500"/>
    <n v="50"/>
    <x v="0"/>
  </r>
  <r>
    <s v="14-OCT-UK"/>
    <x v="9"/>
    <s v="Timberland"/>
    <n v="130"/>
    <n v="10"/>
    <x v="5"/>
  </r>
  <r>
    <s v="17-JUN-IN"/>
    <x v="0"/>
    <s v="HP"/>
    <n v="950"/>
    <n v="25"/>
    <x v="0"/>
  </r>
  <r>
    <s v="25-NOV-AU"/>
    <x v="1"/>
    <s v="Adidas"/>
    <n v="90"/>
    <n v="40"/>
    <x v="3"/>
  </r>
  <r>
    <s v="08-DEC-DE"/>
    <x v="2"/>
    <s v="Nespresso"/>
    <n v="120"/>
    <n v="35"/>
    <x v="3"/>
  </r>
  <r>
    <s v="18-FEB-CA"/>
    <x v="10"/>
    <s v="Fitbit"/>
    <n v="150"/>
    <n v="15"/>
    <x v="4"/>
  </r>
  <r>
    <s v="16-APR-ES"/>
    <x v="5"/>
    <s v="Bose"/>
    <n v="250"/>
    <n v="20"/>
    <x v="4"/>
  </r>
  <r>
    <s v="21-AUG-CA"/>
    <x v="11"/>
    <s v="Samsonite"/>
    <n v="50"/>
    <n v="35"/>
    <x v="6"/>
  </r>
  <r>
    <s v="20-AUG-CN"/>
    <x v="10"/>
    <s v="Huawei"/>
    <n v="160"/>
    <n v="15"/>
    <x v="4"/>
  </r>
  <r>
    <s v="27-JAN-IT"/>
    <x v="0"/>
    <s v="Asus"/>
    <n v="980"/>
    <n v="10"/>
    <x v="0"/>
  </r>
  <r>
    <s v="01-MAR-UK"/>
    <x v="12"/>
    <s v="Oakley"/>
    <n v="150"/>
    <n v="15"/>
    <x v="1"/>
  </r>
  <r>
    <s v="14-AUG-US"/>
    <x v="13"/>
    <s v="Coleman"/>
    <s v="unknown"/>
    <n v="10"/>
    <x v="5"/>
  </r>
  <r>
    <s v="14-MAY-RU"/>
    <x v="14"/>
    <s v="Nikon"/>
    <n v="700"/>
    <n v="50"/>
    <x v="0"/>
  </r>
  <r>
    <s v="09-JAN-CA"/>
    <x v="15"/>
    <s v="Panasonic"/>
    <n v="80"/>
    <n v="20"/>
    <x v="2"/>
  </r>
  <r>
    <s v="19-JUL-BR"/>
    <x v="16"/>
    <s v="Xiaomi"/>
    <n v="150"/>
    <n v="30"/>
    <x v="3"/>
  </r>
  <r>
    <s v="21-AUG-CA"/>
    <x v="11"/>
    <s v="Samsonite"/>
    <n v="50"/>
    <n v="35"/>
    <x v="6"/>
  </r>
  <r>
    <s v="29-SEP-CA"/>
    <x v="3"/>
    <s v="Google"/>
    <n v="800"/>
    <n v="45"/>
    <x v="0"/>
  </r>
  <r>
    <s v="03-JUN-CA"/>
    <x v="12"/>
    <s v="Ray-Ban"/>
    <s v="unknown"/>
    <n v="25"/>
    <x v="1"/>
  </r>
  <r>
    <s v="11-JUL-CA"/>
    <x v="7"/>
    <s v="Vitamix"/>
    <n v="400"/>
    <n v="40"/>
    <x v="2"/>
  </r>
  <r>
    <s v="16-APR-ES"/>
    <x v="5"/>
    <s v="Bose"/>
    <n v="250"/>
    <n v="20"/>
    <x v="4"/>
  </r>
  <r>
    <s v="07-MAR-CA"/>
    <x v="17"/>
    <s v="Zara"/>
    <n v="60"/>
    <n v="30"/>
    <x v="1"/>
  </r>
  <r>
    <s v="13-APR-CA"/>
    <x v="18"/>
    <s v="Hamilton"/>
    <n v="40"/>
    <n v="10"/>
    <x v="2"/>
  </r>
  <r>
    <s v="24-MAY-CA"/>
    <x v="16"/>
    <s v="Garmin"/>
    <n v="130"/>
    <n v="5"/>
    <x v="0"/>
  </r>
  <r>
    <s v="02-DEC-CA"/>
    <x v="19"/>
    <s v="Levi's"/>
    <n v="50"/>
    <n v="50"/>
    <x v="1"/>
  </r>
  <r>
    <s v="17-JUN-IN"/>
    <x v="0"/>
    <s v="HP"/>
    <n v="950"/>
    <n v="25"/>
    <x v="0"/>
  </r>
  <r>
    <s v="09-JUL-FR"/>
    <x v="20"/>
    <s v="Casio"/>
    <n v="100"/>
    <n v="2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A004B-8BEF-4C34-80D8-EEC36DE274EF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P23" firstHeaderRow="1" firstDataRow="1" firstDataCol="1"/>
  <pivotFields count="6">
    <pivotField showAll="0"/>
    <pivotField axis="axisRow" showAll="0">
      <items count="22">
        <item x="4"/>
        <item x="7"/>
        <item x="14"/>
        <item x="13"/>
        <item x="2"/>
        <item x="17"/>
        <item x="16"/>
        <item x="5"/>
        <item x="9"/>
        <item x="19"/>
        <item x="0"/>
        <item x="11"/>
        <item x="15"/>
        <item x="3"/>
        <item x="10"/>
        <item x="1"/>
        <item x="12"/>
        <item x="8"/>
        <item x="18"/>
        <item x="6"/>
        <item x="20"/>
        <item t="default"/>
      </items>
    </pivotField>
    <pivotField showAll="0"/>
    <pivotField showAll="0"/>
    <pivotField showAll="0"/>
    <pivotField showAll="0">
      <items count="8">
        <item x="6"/>
        <item x="4"/>
        <item x="0"/>
        <item x="1"/>
        <item x="2"/>
        <item x="5"/>
        <item x="3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topLeftCell="B10" workbookViewId="0">
      <selection activeCell="L25" sqref="L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4" ht="15.75" customHeight="1" x14ac:dyDescent="0.3">
      <c r="A1" s="1" t="s">
        <v>0</v>
      </c>
    </row>
    <row r="2" spans="1:14" ht="15.75" customHeight="1" x14ac:dyDescent="0.25"/>
    <row r="3" spans="1:14" ht="15.75" customHeight="1" x14ac:dyDescent="0.3">
      <c r="B3" s="2" t="s">
        <v>1</v>
      </c>
    </row>
    <row r="4" spans="1:14" ht="15.75" customHeight="1" x14ac:dyDescent="0.35">
      <c r="C4" s="3" t="s">
        <v>2</v>
      </c>
      <c r="K4" s="14" t="s">
        <v>119</v>
      </c>
    </row>
    <row r="5" spans="1:14" ht="15.75" customHeight="1" x14ac:dyDescent="0.35">
      <c r="B5" s="4"/>
      <c r="C5" s="3" t="s">
        <v>3</v>
      </c>
      <c r="L5" s="14" t="s">
        <v>122</v>
      </c>
    </row>
    <row r="6" spans="1:14" ht="15.75" customHeight="1" x14ac:dyDescent="0.35">
      <c r="B6" s="4"/>
    </row>
    <row r="7" spans="1:14" ht="15.75" customHeight="1" x14ac:dyDescent="0.3">
      <c r="B7" s="2" t="s">
        <v>4</v>
      </c>
    </row>
    <row r="8" spans="1:14" ht="15.75" customHeight="1" x14ac:dyDescent="0.35">
      <c r="C8" s="3" t="s">
        <v>5</v>
      </c>
      <c r="I8" s="14" t="s">
        <v>123</v>
      </c>
    </row>
    <row r="9" spans="1:14" ht="15.75" customHeight="1" x14ac:dyDescent="0.35">
      <c r="C9" s="3" t="s">
        <v>6</v>
      </c>
      <c r="G9" s="14" t="s">
        <v>127</v>
      </c>
    </row>
    <row r="10" spans="1:14" ht="15.75" customHeight="1" x14ac:dyDescent="0.35">
      <c r="C10" s="3" t="s">
        <v>7</v>
      </c>
      <c r="N10" s="14" t="s">
        <v>126</v>
      </c>
    </row>
    <row r="11" spans="1:14" ht="15.75" customHeight="1" x14ac:dyDescent="0.35">
      <c r="B11" s="4"/>
    </row>
    <row r="12" spans="1:14" ht="15.75" customHeight="1" x14ac:dyDescent="0.3">
      <c r="B12" s="2" t="s">
        <v>8</v>
      </c>
    </row>
    <row r="13" spans="1:14" ht="15.75" customHeight="1" x14ac:dyDescent="0.35">
      <c r="B13" s="2"/>
      <c r="C13" s="3" t="s">
        <v>9</v>
      </c>
      <c r="K13" s="14" t="s">
        <v>128</v>
      </c>
    </row>
    <row r="14" spans="1:14" ht="15.75" customHeight="1" x14ac:dyDescent="0.25"/>
    <row r="15" spans="1:14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4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  <c r="N16" s="14" t="s">
        <v>129</v>
      </c>
    </row>
    <row r="17" spans="2:14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20" t="s">
        <v>129</v>
      </c>
      <c r="K17" s="5"/>
      <c r="N17" s="9" t="s">
        <v>118</v>
      </c>
    </row>
    <row r="18" spans="2:14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4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4" ht="15.75" customHeight="1" x14ac:dyDescent="0.35">
      <c r="B20" s="5"/>
      <c r="C20" s="3" t="s">
        <v>14</v>
      </c>
      <c r="D20" s="5"/>
      <c r="E20" s="5"/>
      <c r="F20" s="5"/>
      <c r="G20" s="5"/>
      <c r="H20" s="9" t="s">
        <v>118</v>
      </c>
      <c r="I20" s="5"/>
      <c r="J20" s="5"/>
      <c r="K20" s="5"/>
    </row>
    <row r="21" spans="2:14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9" t="s">
        <v>118</v>
      </c>
      <c r="K21" s="5"/>
    </row>
    <row r="22" spans="2:14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4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4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9" t="s">
        <v>118</v>
      </c>
      <c r="J24" s="5"/>
      <c r="K24" s="5"/>
    </row>
    <row r="25" spans="2:14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  <c r="L25" s="13" t="s">
        <v>129</v>
      </c>
    </row>
    <row r="26" spans="2:14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4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8" workbookViewId="0">
      <selection activeCell="A2" sqref="A2:F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D0C6-E105-4E14-A9EA-7F4A91DE79D0}">
  <dimension ref="A1:P66"/>
  <sheetViews>
    <sheetView tabSelected="1" workbookViewId="0">
      <selection activeCell="F36" sqref="F36:F66"/>
    </sheetView>
  </sheetViews>
  <sheetFormatPr defaultRowHeight="12.5" x14ac:dyDescent="0.25"/>
  <cols>
    <col min="1" max="1" width="17.7265625" bestFit="1" customWidth="1"/>
    <col min="2" max="3" width="13.36328125" bestFit="1" customWidth="1"/>
    <col min="4" max="4" width="21.1796875" bestFit="1" customWidth="1"/>
    <col min="5" max="5" width="10.54296875" bestFit="1" customWidth="1"/>
    <col min="6" max="6" width="19.6328125" bestFit="1" customWidth="1"/>
    <col min="7" max="7" width="23" bestFit="1" customWidth="1"/>
    <col min="9" max="9" width="19.6328125" bestFit="1" customWidth="1"/>
    <col min="10" max="10" width="23" bestFit="1" customWidth="1"/>
    <col min="11" max="11" width="17.7265625" bestFit="1" customWidth="1"/>
    <col min="12" max="12" width="12.453125" bestFit="1" customWidth="1"/>
    <col min="13" max="13" width="13.1796875" bestFit="1" customWidth="1"/>
    <col min="16" max="16" width="13.36328125" bestFit="1" customWidth="1"/>
    <col min="20" max="20" width="21.08984375" bestFit="1" customWidth="1"/>
  </cols>
  <sheetData>
    <row r="1" spans="1:16" ht="13" x14ac:dyDescent="0.3">
      <c r="A1" s="7" t="s">
        <v>116</v>
      </c>
      <c r="B1" s="7" t="s">
        <v>117</v>
      </c>
      <c r="C1" s="12" t="s">
        <v>131</v>
      </c>
      <c r="D1" s="12" t="s">
        <v>130</v>
      </c>
      <c r="E1" s="7" t="s">
        <v>22</v>
      </c>
      <c r="F1" s="7" t="s">
        <v>23</v>
      </c>
      <c r="G1" s="12" t="s">
        <v>24</v>
      </c>
      <c r="I1" s="12"/>
      <c r="J1" s="12"/>
      <c r="K1" s="7"/>
      <c r="L1" s="7"/>
      <c r="P1" s="18" t="s">
        <v>124</v>
      </c>
    </row>
    <row r="2" spans="1:16" x14ac:dyDescent="0.25">
      <c r="A2" s="21" t="str">
        <f>LEFT(A36,LEN(A36)-3)</f>
        <v>28-JAN</v>
      </c>
      <c r="B2" t="str">
        <f>RIGHT(A36,LEN(A36)-7)</f>
        <v>US</v>
      </c>
      <c r="C2" t="str">
        <f>PROPER(H36)</f>
        <v>Laptop</v>
      </c>
      <c r="D2" t="str">
        <f>CONCATENATE(C36, " ", C2)</f>
        <v>Dell Laptop</v>
      </c>
      <c r="E2" s="10">
        <v>1000</v>
      </c>
      <c r="F2" s="5">
        <v>30</v>
      </c>
      <c r="G2" t="str">
        <f>PROPER(F36)</f>
        <v>Electronics</v>
      </c>
      <c r="P2" s="19" t="s">
        <v>41</v>
      </c>
    </row>
    <row r="3" spans="1:16" x14ac:dyDescent="0.25">
      <c r="A3" s="22" t="str">
        <f>LEFT(A37,LEN(A37)-3)</f>
        <v>15-FEB</v>
      </c>
      <c r="B3" t="str">
        <f>RIGHT(A37,LEN(A37)-7)</f>
        <v>US</v>
      </c>
      <c r="C3" t="str">
        <f>PROPER(H37)</f>
        <v>Sneakers</v>
      </c>
      <c r="D3" t="str">
        <f>CONCATENATE(C37, " ", C3)</f>
        <v>Nike Sneakers</v>
      </c>
      <c r="E3" s="11">
        <v>80</v>
      </c>
      <c r="F3" s="8">
        <v>15</v>
      </c>
      <c r="G3" t="str">
        <f t="shared" ref="G3:G32" si="0">PROPER(F37)</f>
        <v>Fashion</v>
      </c>
      <c r="P3" s="19" t="s">
        <v>51</v>
      </c>
    </row>
    <row r="4" spans="1:16" x14ac:dyDescent="0.25">
      <c r="A4" s="22" t="str">
        <f>LEFT(A38,LEN(A38)-3)</f>
        <v>03-MAR</v>
      </c>
      <c r="B4" t="str">
        <f>RIGHT(A38,LEN(A38)-7)</f>
        <v>US</v>
      </c>
      <c r="C4" t="str">
        <f>PROPER(H38)</f>
        <v>Coffee Maker</v>
      </c>
      <c r="D4" t="str">
        <f>CONCATENATE(C38, " ", C4)</f>
        <v>Keurig Coffee Maker</v>
      </c>
      <c r="E4" s="10">
        <v>130</v>
      </c>
      <c r="F4" s="5">
        <v>40</v>
      </c>
      <c r="G4" t="str">
        <f t="shared" si="0"/>
        <v>Kitchen</v>
      </c>
      <c r="P4" s="19" t="s">
        <v>87</v>
      </c>
    </row>
    <row r="5" spans="1:16" x14ac:dyDescent="0.25">
      <c r="A5" s="22" t="str">
        <f>LEFT(A39,LEN(A39)-3)</f>
        <v>11-APR</v>
      </c>
      <c r="B5" t="str">
        <f>RIGHT(A39,LEN(A39)-7)</f>
        <v>US</v>
      </c>
      <c r="C5" t="str">
        <f>PROPER(H39)</f>
        <v>Smartphone</v>
      </c>
      <c r="D5" t="str">
        <f>CONCATENATE(C39, " ", C5)</f>
        <v>Samsung Smartphone</v>
      </c>
      <c r="E5" s="11">
        <v>900</v>
      </c>
      <c r="F5" s="8">
        <v>25</v>
      </c>
      <c r="G5" t="str">
        <f t="shared" si="0"/>
        <v>Electronics</v>
      </c>
      <c r="P5" s="19" t="s">
        <v>84</v>
      </c>
    </row>
    <row r="6" spans="1:16" x14ac:dyDescent="0.25">
      <c r="A6" s="22" t="str">
        <f>LEFT(A40,LEN(A40)-3)</f>
        <v>22-MAY</v>
      </c>
      <c r="B6" t="str">
        <f>RIGHT(A40,LEN(A40)-7)</f>
        <v>US</v>
      </c>
      <c r="C6" t="str">
        <f>PROPER(H40)</f>
        <v>Backpack</v>
      </c>
      <c r="D6" t="str">
        <f>CONCATENATE(C40, " ", C6)</f>
        <v>North Face Backpack</v>
      </c>
      <c r="E6" s="10">
        <v>70</v>
      </c>
      <c r="F6" s="5">
        <v>20</v>
      </c>
      <c r="G6" s="13" t="s">
        <v>132</v>
      </c>
      <c r="P6" s="19" t="s">
        <v>34</v>
      </c>
    </row>
    <row r="7" spans="1:16" x14ac:dyDescent="0.25">
      <c r="A7" s="22" t="str">
        <f>LEFT(A41,LEN(A41)-3)</f>
        <v>07-JUN</v>
      </c>
      <c r="B7" t="str">
        <f>RIGHT(A41,LEN(A41)-7)</f>
        <v>UK</v>
      </c>
      <c r="C7" t="str">
        <f>PROPER(H41)</f>
        <v>Headphones</v>
      </c>
      <c r="D7" t="str">
        <f>CONCATENATE(C41, " ", C7)</f>
        <v>Sony Headphones</v>
      </c>
      <c r="E7" s="16" t="s">
        <v>132</v>
      </c>
      <c r="F7" s="8">
        <v>45</v>
      </c>
      <c r="G7" t="str">
        <f t="shared" si="0"/>
        <v>Electronics</v>
      </c>
      <c r="P7" s="19" t="s">
        <v>103</v>
      </c>
    </row>
    <row r="8" spans="1:16" x14ac:dyDescent="0.25">
      <c r="A8" s="22" t="str">
        <f>LEFT(A42,LEN(A42)-3)</f>
        <v>19-JUL</v>
      </c>
      <c r="B8" t="str">
        <f>RIGHT(A42,LEN(A42)-7)</f>
        <v>UK</v>
      </c>
      <c r="C8" t="str">
        <f>PROPER(H42)</f>
        <v>T-Shirt</v>
      </c>
      <c r="D8" t="str">
        <f>CONCATENATE(C42, " ", C8)</f>
        <v>Adidas T-Shirt</v>
      </c>
      <c r="E8" s="10">
        <v>30</v>
      </c>
      <c r="F8" s="5">
        <v>5</v>
      </c>
      <c r="G8" t="str">
        <f t="shared" si="0"/>
        <v>Fashion</v>
      </c>
      <c r="P8" s="19" t="s">
        <v>93</v>
      </c>
    </row>
    <row r="9" spans="1:16" x14ac:dyDescent="0.25">
      <c r="A9" s="22" t="str">
        <f>LEFT(A43,LEN(A43)-3)</f>
        <v>23-AUG</v>
      </c>
      <c r="B9" t="str">
        <f>RIGHT(A43,LEN(A43)-7)</f>
        <v>UK</v>
      </c>
      <c r="C9" t="str">
        <f>PROPER(H43)</f>
        <v>Blender</v>
      </c>
      <c r="D9" t="str">
        <f>CONCATENATE(C43, " ", C9)</f>
        <v>Ninja Blender</v>
      </c>
      <c r="E9" s="11">
        <v>90</v>
      </c>
      <c r="F9" s="8">
        <v>35</v>
      </c>
      <c r="G9" t="str">
        <f t="shared" si="0"/>
        <v>Kitchen</v>
      </c>
      <c r="P9" s="19" t="s">
        <v>44</v>
      </c>
    </row>
    <row r="10" spans="1:16" x14ac:dyDescent="0.25">
      <c r="A10" s="22" t="str">
        <f>LEFT(A44,LEN(A44)-3)</f>
        <v>05-SEP</v>
      </c>
      <c r="B10" t="str">
        <f>RIGHT(A44,LEN(A44)-7)</f>
        <v>UK</v>
      </c>
      <c r="C10" t="str">
        <f>PROPER(H44)</f>
        <v>Tablet</v>
      </c>
      <c r="D10" t="str">
        <f>CONCATENATE(C44, " ", C10)</f>
        <v>Apple Tablet</v>
      </c>
      <c r="E10" s="10">
        <v>500</v>
      </c>
      <c r="F10" s="5">
        <v>50</v>
      </c>
      <c r="G10" t="str">
        <f t="shared" si="0"/>
        <v>Electronics</v>
      </c>
      <c r="P10" s="19" t="s">
        <v>57</v>
      </c>
    </row>
    <row r="11" spans="1:16" x14ac:dyDescent="0.25">
      <c r="A11" s="22" t="str">
        <f>LEFT(A45,LEN(A45)-3)</f>
        <v>14-OCT</v>
      </c>
      <c r="B11" t="str">
        <f>RIGHT(A45,LEN(A45)-7)</f>
        <v>UK</v>
      </c>
      <c r="C11" t="str">
        <f>PROPER(H45)</f>
        <v>Hiking Boots</v>
      </c>
      <c r="D11" t="str">
        <f>CONCATENATE(C45, " ", C11)</f>
        <v>Timberland Hiking Boots</v>
      </c>
      <c r="E11" s="11">
        <v>130</v>
      </c>
      <c r="F11" s="8">
        <v>10</v>
      </c>
      <c r="G11" t="str">
        <f t="shared" si="0"/>
        <v>Outdoor</v>
      </c>
      <c r="P11" s="19" t="s">
        <v>111</v>
      </c>
    </row>
    <row r="12" spans="1:16" x14ac:dyDescent="0.25">
      <c r="A12" s="22" t="str">
        <f>LEFT(A46,LEN(A46)-3)</f>
        <v>17-JUN</v>
      </c>
      <c r="B12" t="str">
        <f>RIGHT(A46,LEN(A46)-7)</f>
        <v>IN</v>
      </c>
      <c r="C12" t="str">
        <f>PROPER(H46)</f>
        <v>Laptop</v>
      </c>
      <c r="D12" t="str">
        <f>CONCATENATE(C46, " ", C12)</f>
        <v>HP Laptop</v>
      </c>
      <c r="E12" s="10">
        <v>950</v>
      </c>
      <c r="F12" s="5">
        <v>25</v>
      </c>
      <c r="G12" t="str">
        <f t="shared" si="0"/>
        <v>Electronics</v>
      </c>
      <c r="P12" s="19" t="s">
        <v>26</v>
      </c>
    </row>
    <row r="13" spans="1:16" x14ac:dyDescent="0.25">
      <c r="A13" s="22" t="str">
        <f>LEFT(A47,LEN(A47)-3)</f>
        <v>25-NOV</v>
      </c>
      <c r="B13" t="str">
        <f>RIGHT(A47,LEN(A47)-7)</f>
        <v>AU</v>
      </c>
      <c r="C13" t="str">
        <f>PROPER(H47)</f>
        <v>Sneakers</v>
      </c>
      <c r="D13" t="str">
        <f>CONCATENATE(C47, " ", C13)</f>
        <v>Adidas Sneakers</v>
      </c>
      <c r="E13" s="11">
        <v>90</v>
      </c>
      <c r="F13" s="8">
        <v>40</v>
      </c>
      <c r="G13" s="13" t="s">
        <v>132</v>
      </c>
      <c r="P13" s="19" t="s">
        <v>73</v>
      </c>
    </row>
    <row r="14" spans="1:16" x14ac:dyDescent="0.25">
      <c r="A14" s="22" t="str">
        <f>LEFT(A48,LEN(A48)-3)</f>
        <v>08-DEC</v>
      </c>
      <c r="B14" t="str">
        <f>RIGHT(A48,LEN(A48)-7)</f>
        <v>DE</v>
      </c>
      <c r="C14" t="str">
        <f>PROPER(H48)</f>
        <v>Coffee Maker</v>
      </c>
      <c r="D14" t="str">
        <f>CONCATENATE(C48, " ", C14)</f>
        <v>Nespresso Coffee Maker</v>
      </c>
      <c r="E14" s="10">
        <v>120</v>
      </c>
      <c r="F14" s="5">
        <v>35</v>
      </c>
      <c r="G14" s="13" t="s">
        <v>132</v>
      </c>
      <c r="P14" s="19" t="s">
        <v>90</v>
      </c>
    </row>
    <row r="15" spans="1:16" x14ac:dyDescent="0.25">
      <c r="A15" s="22" t="str">
        <f>LEFT(A49,LEN(A49)-3)</f>
        <v>18-FEB</v>
      </c>
      <c r="B15" t="str">
        <f>RIGHT(A49,LEN(A49)-7)</f>
        <v>CA</v>
      </c>
      <c r="C15" t="str">
        <f>PROPER(H49)</f>
        <v>Smartwatch</v>
      </c>
      <c r="D15" t="str">
        <f>CONCATENATE(C49, " ", C15)</f>
        <v>Fitbit Smartwatch</v>
      </c>
      <c r="E15" s="11">
        <v>150</v>
      </c>
      <c r="F15" s="8">
        <v>15</v>
      </c>
      <c r="G15" t="str">
        <f t="shared" si="0"/>
        <v>Electronics</v>
      </c>
      <c r="P15" s="19" t="s">
        <v>38</v>
      </c>
    </row>
    <row r="16" spans="1:16" x14ac:dyDescent="0.25">
      <c r="A16" s="22" t="str">
        <f>LEFT(A50,LEN(A50)-3)</f>
        <v>16-APR</v>
      </c>
      <c r="B16" t="str">
        <f>RIGHT(A50,LEN(A50)-7)</f>
        <v>ES</v>
      </c>
      <c r="C16" t="str">
        <f>PROPER(H50)</f>
        <v>Headphones</v>
      </c>
      <c r="D16" t="str">
        <f>CONCATENATE(C50, " ", C16)</f>
        <v>Bose Headphones</v>
      </c>
      <c r="E16" s="10">
        <v>250</v>
      </c>
      <c r="F16" s="5">
        <v>20</v>
      </c>
      <c r="G16" t="str">
        <f t="shared" si="0"/>
        <v>Electronics</v>
      </c>
      <c r="P16" s="19" t="s">
        <v>67</v>
      </c>
    </row>
    <row r="17" spans="1:16" x14ac:dyDescent="0.25">
      <c r="A17" s="22" t="str">
        <f>LEFT(A51,LEN(A51)-3)</f>
        <v>21-AUG</v>
      </c>
      <c r="B17" t="str">
        <f>RIGHT(A51,LEN(A51)-7)</f>
        <v>CA</v>
      </c>
      <c r="C17" t="str">
        <f>PROPER(H51)</f>
        <v>Laptop Bag</v>
      </c>
      <c r="D17" t="str">
        <f>CONCATENATE(C51, " ", C17)</f>
        <v>Samsonite Laptop Bag</v>
      </c>
      <c r="E17" s="11">
        <v>50</v>
      </c>
      <c r="F17" s="8">
        <v>35</v>
      </c>
      <c r="G17" t="str">
        <f t="shared" si="0"/>
        <v>Accessories</v>
      </c>
      <c r="P17" s="19" t="s">
        <v>30</v>
      </c>
    </row>
    <row r="18" spans="1:16" x14ac:dyDescent="0.25">
      <c r="A18" s="22" t="str">
        <f>LEFT(A52,LEN(A52)-3)</f>
        <v>20-AUG</v>
      </c>
      <c r="B18" t="str">
        <f>RIGHT(A52,LEN(A52)-7)</f>
        <v>CN</v>
      </c>
      <c r="C18" t="str">
        <f>PROPER(H52)</f>
        <v>Smartwatch</v>
      </c>
      <c r="D18" t="str">
        <f>CONCATENATE(C52, " ", C18)</f>
        <v>Huawei Smartwatch</v>
      </c>
      <c r="E18" s="10">
        <v>160</v>
      </c>
      <c r="F18" s="5">
        <v>15</v>
      </c>
      <c r="G18" t="str">
        <f t="shared" si="0"/>
        <v>Electronics</v>
      </c>
      <c r="P18" s="19" t="s">
        <v>81</v>
      </c>
    </row>
    <row r="19" spans="1:16" x14ac:dyDescent="0.25">
      <c r="A19" s="22" t="str">
        <f>LEFT(A53,LEN(A53)-3)</f>
        <v>27-JAN</v>
      </c>
      <c r="B19" t="str">
        <f>RIGHT(A53,LEN(A53)-7)</f>
        <v>IT</v>
      </c>
      <c r="C19" t="str">
        <f>PROPER(H53)</f>
        <v>Laptop</v>
      </c>
      <c r="D19" t="str">
        <f>CONCATENATE(C53, " ", C19)</f>
        <v>Asus Laptop</v>
      </c>
      <c r="E19" s="11">
        <v>980</v>
      </c>
      <c r="F19" s="8">
        <v>10</v>
      </c>
      <c r="G19" t="str">
        <f t="shared" si="0"/>
        <v>Electronics</v>
      </c>
      <c r="P19" s="19" t="s">
        <v>54</v>
      </c>
    </row>
    <row r="20" spans="1:16" x14ac:dyDescent="0.25">
      <c r="A20" s="22" t="str">
        <f>LEFT(A54,LEN(A54)-3)</f>
        <v>01-MAR</v>
      </c>
      <c r="B20" t="str">
        <f>RIGHT(A54,LEN(A54)-7)</f>
        <v>UK</v>
      </c>
      <c r="C20" t="str">
        <f>PROPER(H54)</f>
        <v>Sunglasses</v>
      </c>
      <c r="D20" t="str">
        <f>CONCATENATE(C54, " ", C20)</f>
        <v>Oakley Sunglasses</v>
      </c>
      <c r="E20" s="10">
        <v>150</v>
      </c>
      <c r="F20" s="5">
        <v>15</v>
      </c>
      <c r="G20" t="str">
        <f t="shared" si="0"/>
        <v>Fashion</v>
      </c>
      <c r="P20" s="19" t="s">
        <v>106</v>
      </c>
    </row>
    <row r="21" spans="1:16" x14ac:dyDescent="0.25">
      <c r="A21" s="22" t="str">
        <f>LEFT(A55,LEN(A55)-3)</f>
        <v>14-AUG</v>
      </c>
      <c r="B21" t="str">
        <f>RIGHT(A55,LEN(A55)-7)</f>
        <v>US</v>
      </c>
      <c r="C21" t="str">
        <f>PROPER(H55)</f>
        <v>Camping Tent</v>
      </c>
      <c r="D21" t="str">
        <f>CONCATENATE(C55, " ", C21)</f>
        <v>Coleman Camping Tent</v>
      </c>
      <c r="E21" s="16" t="s">
        <v>132</v>
      </c>
      <c r="F21" s="8">
        <v>10</v>
      </c>
      <c r="G21" t="str">
        <f t="shared" si="0"/>
        <v>Outdoor</v>
      </c>
      <c r="P21" s="19" t="s">
        <v>48</v>
      </c>
    </row>
    <row r="22" spans="1:16" x14ac:dyDescent="0.25">
      <c r="A22" s="22" t="str">
        <f>LEFT(A56,LEN(A56)-3)</f>
        <v>14-MAY</v>
      </c>
      <c r="B22" t="str">
        <f>RIGHT(A56,LEN(A56)-7)</f>
        <v>RU</v>
      </c>
      <c r="C22" t="str">
        <f>PROPER(H56)</f>
        <v>Camera</v>
      </c>
      <c r="D22" t="str">
        <f>CONCATENATE(C56, " ", C22)</f>
        <v>Nikon Camera</v>
      </c>
      <c r="E22" s="10">
        <v>700</v>
      </c>
      <c r="F22" s="5">
        <v>50</v>
      </c>
      <c r="G22" t="str">
        <f t="shared" si="0"/>
        <v>Electronics</v>
      </c>
      <c r="P22" s="19" t="s">
        <v>114</v>
      </c>
    </row>
    <row r="23" spans="1:16" x14ac:dyDescent="0.25">
      <c r="A23" s="22" t="str">
        <f>LEFT(A57,LEN(A57)-3)</f>
        <v>09-JAN</v>
      </c>
      <c r="B23" t="str">
        <f>RIGHT(A57,LEN(A57)-7)</f>
        <v>CA</v>
      </c>
      <c r="C23" t="str">
        <f>PROPER(H57)</f>
        <v>Microwave</v>
      </c>
      <c r="D23" t="str">
        <f>CONCATENATE(C57, " ", C23)</f>
        <v>Panasonic Microwave</v>
      </c>
      <c r="E23" s="11">
        <v>80</v>
      </c>
      <c r="F23" s="8">
        <v>20</v>
      </c>
      <c r="G23" t="str">
        <f t="shared" si="0"/>
        <v>Kitchen</v>
      </c>
      <c r="P23" s="19" t="s">
        <v>125</v>
      </c>
    </row>
    <row r="24" spans="1:16" x14ac:dyDescent="0.25">
      <c r="A24" s="22" t="str">
        <f>LEFT(A58,LEN(A58)-3)</f>
        <v>19-JUL</v>
      </c>
      <c r="B24" t="str">
        <f>RIGHT(A58,LEN(A58)-7)</f>
        <v>BR</v>
      </c>
      <c r="C24" t="str">
        <f>PROPER(H58)</f>
        <v>Fitness Tracker</v>
      </c>
      <c r="D24" t="str">
        <f>CONCATENATE(C58, " ", C24)</f>
        <v>Xiaomi Fitness Tracker</v>
      </c>
      <c r="E24" s="10">
        <v>150</v>
      </c>
      <c r="F24" s="5">
        <v>30</v>
      </c>
      <c r="G24" s="13" t="s">
        <v>132</v>
      </c>
    </row>
    <row r="25" spans="1:16" x14ac:dyDescent="0.25">
      <c r="A25" s="22" t="str">
        <f>LEFT(A59,LEN(A59)-3)</f>
        <v>29-SEP</v>
      </c>
      <c r="B25" t="str">
        <f>RIGHT(A59,LEN(A59)-7)</f>
        <v>CA</v>
      </c>
      <c r="C25" t="str">
        <f>PROPER(H59)</f>
        <v>Smartphone</v>
      </c>
      <c r="D25" t="str">
        <f>CONCATENATE(C59, " ", C25)</f>
        <v>Google Smartphone</v>
      </c>
      <c r="E25" s="10">
        <v>800</v>
      </c>
      <c r="F25" s="5">
        <v>45</v>
      </c>
      <c r="G25" t="str">
        <f t="shared" si="0"/>
        <v>Electronics</v>
      </c>
    </row>
    <row r="26" spans="1:16" x14ac:dyDescent="0.25">
      <c r="A26" s="22" t="str">
        <f>LEFT(A60,LEN(A60)-3)</f>
        <v>03-JUN</v>
      </c>
      <c r="B26" t="str">
        <f>RIGHT(A60,LEN(A60)-7)</f>
        <v>CA</v>
      </c>
      <c r="C26" t="str">
        <f>PROPER(H60)</f>
        <v>Sunglasses</v>
      </c>
      <c r="D26" t="str">
        <f>CONCATENATE(C60, " ", C26)</f>
        <v>Ray-Ban Sunglasses</v>
      </c>
      <c r="E26" s="16" t="s">
        <v>132</v>
      </c>
      <c r="F26" s="8">
        <v>25</v>
      </c>
      <c r="G26" t="str">
        <f t="shared" si="0"/>
        <v>Fashion</v>
      </c>
    </row>
    <row r="27" spans="1:16" x14ac:dyDescent="0.25">
      <c r="A27" s="22" t="str">
        <f>LEFT(A61,LEN(A61)-3)</f>
        <v>11-JUL</v>
      </c>
      <c r="B27" t="str">
        <f>RIGHT(A61,LEN(A61)-7)</f>
        <v>CA</v>
      </c>
      <c r="C27" t="str">
        <f>PROPER(H61)</f>
        <v>Blender</v>
      </c>
      <c r="D27" t="str">
        <f>CONCATENATE(C61, " ", C27)</f>
        <v>Vitamix Blender</v>
      </c>
      <c r="E27" s="10">
        <v>400</v>
      </c>
      <c r="F27" s="5">
        <v>40</v>
      </c>
      <c r="G27" t="str">
        <f t="shared" si="0"/>
        <v>Kitchen</v>
      </c>
    </row>
    <row r="28" spans="1:16" x14ac:dyDescent="0.25">
      <c r="A28" s="22" t="str">
        <f>LEFT(A62,LEN(A62)-3)</f>
        <v>07-MAR</v>
      </c>
      <c r="B28" t="str">
        <f>RIGHT(A62,LEN(A62)-7)</f>
        <v>CA</v>
      </c>
      <c r="C28" t="str">
        <f>PROPER(H62)</f>
        <v>Dress</v>
      </c>
      <c r="D28" t="str">
        <f>CONCATENATE(C62, " ", C28)</f>
        <v>Zara Dress</v>
      </c>
      <c r="E28" s="10">
        <v>60</v>
      </c>
      <c r="F28" s="5">
        <v>30</v>
      </c>
      <c r="G28" t="str">
        <f t="shared" si="0"/>
        <v>Fashion</v>
      </c>
    </row>
    <row r="29" spans="1:16" x14ac:dyDescent="0.25">
      <c r="A29" s="22" t="str">
        <f>LEFT(A63,LEN(A63)-3)</f>
        <v>13-APR</v>
      </c>
      <c r="B29" t="str">
        <f>RIGHT(A63,LEN(A63)-7)</f>
        <v>CA</v>
      </c>
      <c r="C29" t="str">
        <f>PROPER(H63)</f>
        <v>Toaster</v>
      </c>
      <c r="D29" t="str">
        <f>CONCATENATE(C63, " ", C29)</f>
        <v>Hamilton Toaster</v>
      </c>
      <c r="E29" s="11">
        <v>40</v>
      </c>
      <c r="F29" s="8">
        <v>10</v>
      </c>
      <c r="G29" t="str">
        <f t="shared" si="0"/>
        <v>Kitchen</v>
      </c>
    </row>
    <row r="30" spans="1:16" x14ac:dyDescent="0.25">
      <c r="A30" s="22" t="str">
        <f>LEFT(A64,LEN(A64)-3)</f>
        <v>24-MAY</v>
      </c>
      <c r="B30" t="str">
        <f>RIGHT(A64,LEN(A64)-7)</f>
        <v>CA</v>
      </c>
      <c r="C30" t="str">
        <f>PROPER(H64)</f>
        <v>Fitness Tracker</v>
      </c>
      <c r="D30" t="str">
        <f>CONCATENATE(C64, " ", C30)</f>
        <v>Garmin Fitness Tracker</v>
      </c>
      <c r="E30" s="10">
        <v>130</v>
      </c>
      <c r="F30" s="5">
        <v>5</v>
      </c>
      <c r="G30" t="str">
        <f t="shared" si="0"/>
        <v>Electronics</v>
      </c>
    </row>
    <row r="31" spans="1:16" x14ac:dyDescent="0.25">
      <c r="A31" s="22" t="str">
        <f>LEFT(A65,LEN(A65)-3)</f>
        <v>02-DEC</v>
      </c>
      <c r="B31" t="str">
        <f>RIGHT(A65,LEN(A65)-7)</f>
        <v>CA</v>
      </c>
      <c r="C31" t="str">
        <f>PROPER(H65)</f>
        <v>Jeans</v>
      </c>
      <c r="D31" t="str">
        <f>CONCATENATE(C65, " ", C31)</f>
        <v>Levi's Jeans</v>
      </c>
      <c r="E31" s="11">
        <v>50</v>
      </c>
      <c r="F31" s="8">
        <v>50</v>
      </c>
      <c r="G31" t="str">
        <f t="shared" si="0"/>
        <v>Fashion</v>
      </c>
    </row>
    <row r="32" spans="1:16" x14ac:dyDescent="0.25">
      <c r="A32" s="22" t="str">
        <f>LEFT(A66,LEN(A66)-3)</f>
        <v>09-JUL</v>
      </c>
      <c r="B32" t="str">
        <f>RIGHT(A66,LEN(A66)-7)</f>
        <v>FR</v>
      </c>
      <c r="C32" t="str">
        <f>PROPER(H66)</f>
        <v>Watch</v>
      </c>
      <c r="D32" t="str">
        <f>CONCATENATE(C66, " ", C32)</f>
        <v>Casio Watch</v>
      </c>
      <c r="E32" s="11">
        <v>100</v>
      </c>
      <c r="F32" s="8">
        <v>20</v>
      </c>
      <c r="G32" t="str">
        <f t="shared" si="0"/>
        <v>Accessories</v>
      </c>
    </row>
    <row r="33" spans="1:13" x14ac:dyDescent="0.25">
      <c r="H33" t="str">
        <f>TRIM(B33)</f>
        <v/>
      </c>
      <c r="I33" t="str">
        <f>PROPER(H33)</f>
        <v/>
      </c>
      <c r="J33" t="str">
        <f t="shared" ref="J3:J36" si="1">PROPER(E33)</f>
        <v/>
      </c>
      <c r="M33" t="str">
        <f>CONCATENATE(C33, " ", I33)</f>
        <v xml:space="preserve"> </v>
      </c>
    </row>
    <row r="34" spans="1:13" x14ac:dyDescent="0.25">
      <c r="H34" t="str">
        <f>TRIM(B34)</f>
        <v/>
      </c>
      <c r="I34" t="str">
        <f>PROPER(H34)</f>
        <v/>
      </c>
      <c r="J34" t="str">
        <f t="shared" si="1"/>
        <v/>
      </c>
      <c r="M34" t="str">
        <f>CONCATENATE(C34, " ", I34)</f>
        <v xml:space="preserve"> </v>
      </c>
    </row>
    <row r="35" spans="1:13" ht="13" x14ac:dyDescent="0.3">
      <c r="A35" s="7" t="s">
        <v>19</v>
      </c>
      <c r="B35" s="7" t="s">
        <v>20</v>
      </c>
      <c r="C35" s="7" t="s">
        <v>21</v>
      </c>
      <c r="D35" s="7" t="s">
        <v>22</v>
      </c>
      <c r="E35" s="7" t="s">
        <v>24</v>
      </c>
      <c r="F35" s="12" t="s">
        <v>120</v>
      </c>
      <c r="G35" s="12" t="s">
        <v>121</v>
      </c>
      <c r="M35" t="e">
        <f>CONCATENATE(#REF!, " ", I35)</f>
        <v>#REF!</v>
      </c>
    </row>
    <row r="36" spans="1:13" x14ac:dyDescent="0.25">
      <c r="A36" s="5" t="s">
        <v>25</v>
      </c>
      <c r="B36" s="5" t="s">
        <v>26</v>
      </c>
      <c r="C36" s="5" t="s">
        <v>27</v>
      </c>
      <c r="D36" s="5">
        <v>1000</v>
      </c>
      <c r="E36" s="5">
        <v>30</v>
      </c>
      <c r="F36" s="15" t="s">
        <v>28</v>
      </c>
      <c r="G36" t="b">
        <f>ISBLANK(E36)</f>
        <v>0</v>
      </c>
      <c r="H36" t="str">
        <f>TRIM(B36)</f>
        <v>laptop</v>
      </c>
    </row>
    <row r="37" spans="1:13" x14ac:dyDescent="0.25">
      <c r="A37" s="8" t="s">
        <v>29</v>
      </c>
      <c r="B37" s="8" t="s">
        <v>30</v>
      </c>
      <c r="C37" s="8" t="s">
        <v>31</v>
      </c>
      <c r="D37" s="8">
        <v>80</v>
      </c>
      <c r="E37" s="8">
        <v>15</v>
      </c>
      <c r="F37" s="8" t="s">
        <v>32</v>
      </c>
      <c r="G37" t="b">
        <f>ISBLANK(E37)</f>
        <v>0</v>
      </c>
      <c r="H37" t="str">
        <f>TRIM(B37)</f>
        <v>Sneakers</v>
      </c>
    </row>
    <row r="38" spans="1:13" x14ac:dyDescent="0.25">
      <c r="A38" s="5" t="s">
        <v>33</v>
      </c>
      <c r="B38" s="5" t="s">
        <v>34</v>
      </c>
      <c r="C38" s="5" t="s">
        <v>35</v>
      </c>
      <c r="D38" s="5">
        <v>130</v>
      </c>
      <c r="E38" s="5">
        <v>40</v>
      </c>
      <c r="F38" s="5" t="s">
        <v>36</v>
      </c>
      <c r="G38" t="b">
        <f>ISBLANK(E38)</f>
        <v>0</v>
      </c>
      <c r="H38" t="str">
        <f>TRIM(B38)</f>
        <v>Coffee Maker</v>
      </c>
    </row>
    <row r="39" spans="1:13" x14ac:dyDescent="0.25">
      <c r="A39" s="8" t="s">
        <v>37</v>
      </c>
      <c r="B39" s="8" t="s">
        <v>38</v>
      </c>
      <c r="C39" s="8" t="s">
        <v>39</v>
      </c>
      <c r="D39" s="8">
        <v>900</v>
      </c>
      <c r="E39" s="8">
        <v>25</v>
      </c>
      <c r="F39" s="8" t="s">
        <v>28</v>
      </c>
      <c r="G39" t="b">
        <f>ISBLANK(E39)</f>
        <v>0</v>
      </c>
      <c r="H39" t="str">
        <f>TRIM(B39)</f>
        <v>smartphone</v>
      </c>
    </row>
    <row r="40" spans="1:13" x14ac:dyDescent="0.25">
      <c r="A40" s="5" t="s">
        <v>40</v>
      </c>
      <c r="B40" s="5" t="s">
        <v>41</v>
      </c>
      <c r="C40" s="5" t="s">
        <v>42</v>
      </c>
      <c r="D40" s="5">
        <v>70</v>
      </c>
      <c r="E40" s="5">
        <v>20</v>
      </c>
      <c r="F40" s="5"/>
      <c r="G40" t="b">
        <f>ISBLANK(E40)</f>
        <v>0</v>
      </c>
      <c r="H40" t="str">
        <f>TRIM(B40)</f>
        <v>Backpack</v>
      </c>
    </row>
    <row r="41" spans="1:13" x14ac:dyDescent="0.25">
      <c r="A41" s="8" t="s">
        <v>43</v>
      </c>
      <c r="B41" s="8" t="s">
        <v>44</v>
      </c>
      <c r="C41" s="8" t="s">
        <v>45</v>
      </c>
      <c r="D41" s="8"/>
      <c r="E41" s="8">
        <v>45</v>
      </c>
      <c r="F41" s="17" t="s">
        <v>28</v>
      </c>
      <c r="G41" t="b">
        <f>ISBLANK(E41)</f>
        <v>0</v>
      </c>
      <c r="H41" t="str">
        <f>TRIM(B41)</f>
        <v>Headphones</v>
      </c>
    </row>
    <row r="42" spans="1:13" x14ac:dyDescent="0.25">
      <c r="A42" s="5" t="s">
        <v>47</v>
      </c>
      <c r="B42" s="5" t="s">
        <v>48</v>
      </c>
      <c r="C42" s="5" t="s">
        <v>49</v>
      </c>
      <c r="D42" s="5">
        <v>30</v>
      </c>
      <c r="E42" s="5">
        <v>5</v>
      </c>
      <c r="F42" s="5" t="s">
        <v>32</v>
      </c>
      <c r="G42" t="b">
        <f>ISBLANK(E42)</f>
        <v>0</v>
      </c>
      <c r="H42" t="str">
        <f>TRIM(B42)</f>
        <v>T-shirt</v>
      </c>
    </row>
    <row r="43" spans="1:13" x14ac:dyDescent="0.25">
      <c r="A43" s="8" t="s">
        <v>50</v>
      </c>
      <c r="B43" s="8" t="s">
        <v>51</v>
      </c>
      <c r="C43" s="8" t="s">
        <v>52</v>
      </c>
      <c r="D43" s="8">
        <v>90</v>
      </c>
      <c r="E43" s="8">
        <v>35</v>
      </c>
      <c r="F43" s="8" t="s">
        <v>36</v>
      </c>
      <c r="G43" t="b">
        <f>ISBLANK(E43)</f>
        <v>0</v>
      </c>
      <c r="H43" t="str">
        <f>TRIM(B43)</f>
        <v>Blender</v>
      </c>
    </row>
    <row r="44" spans="1:13" x14ac:dyDescent="0.25">
      <c r="A44" s="5" t="s">
        <v>53</v>
      </c>
      <c r="B44" s="5" t="s">
        <v>54</v>
      </c>
      <c r="C44" s="5" t="s">
        <v>55</v>
      </c>
      <c r="D44" s="5">
        <v>500</v>
      </c>
      <c r="E44" s="5">
        <v>50</v>
      </c>
      <c r="F44" s="5" t="s">
        <v>28</v>
      </c>
      <c r="G44" t="b">
        <f>ISBLANK(E44)</f>
        <v>0</v>
      </c>
      <c r="H44" t="str">
        <f>TRIM(B44)</f>
        <v>Tablet</v>
      </c>
    </row>
    <row r="45" spans="1:13" x14ac:dyDescent="0.25">
      <c r="A45" s="8" t="s">
        <v>56</v>
      </c>
      <c r="B45" s="8" t="s">
        <v>57</v>
      </c>
      <c r="C45" s="8" t="s">
        <v>58</v>
      </c>
      <c r="D45" s="8">
        <v>130</v>
      </c>
      <c r="E45" s="8">
        <v>10</v>
      </c>
      <c r="F45" s="8" t="s">
        <v>59</v>
      </c>
      <c r="G45" t="b">
        <f>ISBLANK(E45)</f>
        <v>0</v>
      </c>
      <c r="H45" t="str">
        <f>TRIM(B45)</f>
        <v>Hiking Boots</v>
      </c>
    </row>
    <row r="46" spans="1:13" x14ac:dyDescent="0.25">
      <c r="A46" s="5" t="s">
        <v>60</v>
      </c>
      <c r="B46" s="5" t="s">
        <v>61</v>
      </c>
      <c r="C46" s="5" t="s">
        <v>62</v>
      </c>
      <c r="D46" s="5">
        <v>950</v>
      </c>
      <c r="E46" s="5">
        <v>25</v>
      </c>
      <c r="F46" s="5" t="s">
        <v>28</v>
      </c>
      <c r="G46" t="b">
        <f>ISBLANK(E46)</f>
        <v>0</v>
      </c>
      <c r="H46" t="str">
        <f>TRIM(B46)</f>
        <v>Laptop</v>
      </c>
    </row>
    <row r="47" spans="1:13" x14ac:dyDescent="0.25">
      <c r="A47" s="8" t="s">
        <v>63</v>
      </c>
      <c r="B47" s="8" t="s">
        <v>30</v>
      </c>
      <c r="C47" s="8" t="s">
        <v>49</v>
      </c>
      <c r="D47" s="8">
        <v>90</v>
      </c>
      <c r="E47" s="8">
        <v>40</v>
      </c>
      <c r="F47" s="8"/>
      <c r="G47" t="b">
        <f>ISBLANK(E47)</f>
        <v>0</v>
      </c>
      <c r="H47" t="str">
        <f>TRIM(B47)</f>
        <v>Sneakers</v>
      </c>
    </row>
    <row r="48" spans="1:13" x14ac:dyDescent="0.25">
      <c r="A48" s="5" t="s">
        <v>64</v>
      </c>
      <c r="B48" s="5" t="s">
        <v>34</v>
      </c>
      <c r="C48" s="5" t="s">
        <v>65</v>
      </c>
      <c r="D48" s="5">
        <v>120</v>
      </c>
      <c r="E48" s="5">
        <v>35</v>
      </c>
      <c r="F48" s="5"/>
      <c r="G48" t="b">
        <f>ISBLANK(E48)</f>
        <v>0</v>
      </c>
      <c r="H48" t="str">
        <f>TRIM(B48)</f>
        <v>Coffee Maker</v>
      </c>
    </row>
    <row r="49" spans="1:8" x14ac:dyDescent="0.25">
      <c r="A49" s="8" t="s">
        <v>66</v>
      </c>
      <c r="B49" s="8" t="s">
        <v>67</v>
      </c>
      <c r="C49" s="8" t="s">
        <v>68</v>
      </c>
      <c r="D49" s="8">
        <v>150</v>
      </c>
      <c r="E49" s="8">
        <v>15</v>
      </c>
      <c r="F49" s="17" t="s">
        <v>28</v>
      </c>
      <c r="G49" t="b">
        <f>ISBLANK(E49)</f>
        <v>0</v>
      </c>
      <c r="H49" t="str">
        <f>TRIM(B49)</f>
        <v>Smartwatch</v>
      </c>
    </row>
    <row r="50" spans="1:8" x14ac:dyDescent="0.25">
      <c r="A50" s="5" t="s">
        <v>69</v>
      </c>
      <c r="B50" s="5" t="s">
        <v>70</v>
      </c>
      <c r="C50" s="5" t="s">
        <v>71</v>
      </c>
      <c r="D50" s="5">
        <v>250</v>
      </c>
      <c r="E50" s="5">
        <v>20</v>
      </c>
      <c r="F50" s="15" t="s">
        <v>28</v>
      </c>
      <c r="G50" t="b">
        <f>ISBLANK(E50)</f>
        <v>0</v>
      </c>
      <c r="H50" t="str">
        <f>TRIM(B50)</f>
        <v>headphones</v>
      </c>
    </row>
    <row r="51" spans="1:8" x14ac:dyDescent="0.25">
      <c r="A51" s="8" t="s">
        <v>72</v>
      </c>
      <c r="B51" s="8" t="s">
        <v>73</v>
      </c>
      <c r="C51" s="8" t="s">
        <v>74</v>
      </c>
      <c r="D51" s="8">
        <v>50</v>
      </c>
      <c r="E51" s="8">
        <v>35</v>
      </c>
      <c r="F51" s="8" t="s">
        <v>75</v>
      </c>
      <c r="G51" t="b">
        <f>ISBLANK(E51)</f>
        <v>0</v>
      </c>
      <c r="H51" t="str">
        <f>TRIM(B51)</f>
        <v>Laptop Bag</v>
      </c>
    </row>
    <row r="52" spans="1:8" x14ac:dyDescent="0.25">
      <c r="A52" s="5" t="s">
        <v>76</v>
      </c>
      <c r="B52" s="5" t="s">
        <v>67</v>
      </c>
      <c r="C52" s="5" t="s">
        <v>77</v>
      </c>
      <c r="D52" s="5">
        <v>160</v>
      </c>
      <c r="E52" s="5">
        <v>15</v>
      </c>
      <c r="F52" s="15" t="s">
        <v>28</v>
      </c>
      <c r="G52" t="b">
        <f>ISBLANK(E52)</f>
        <v>0</v>
      </c>
      <c r="H52" t="str">
        <f>TRIM(B52)</f>
        <v>Smartwatch</v>
      </c>
    </row>
    <row r="53" spans="1:8" x14ac:dyDescent="0.25">
      <c r="A53" s="8" t="s">
        <v>78</v>
      </c>
      <c r="B53" s="8" t="s">
        <v>26</v>
      </c>
      <c r="C53" s="8" t="s">
        <v>79</v>
      </c>
      <c r="D53" s="8">
        <v>980</v>
      </c>
      <c r="E53" s="8">
        <v>10</v>
      </c>
      <c r="F53" s="8" t="s">
        <v>28</v>
      </c>
      <c r="G53" t="b">
        <f>ISBLANK(E53)</f>
        <v>0</v>
      </c>
      <c r="H53" t="str">
        <f>TRIM(B53)</f>
        <v>laptop</v>
      </c>
    </row>
    <row r="54" spans="1:8" x14ac:dyDescent="0.25">
      <c r="A54" s="5" t="s">
        <v>80</v>
      </c>
      <c r="B54" s="5" t="s">
        <v>81</v>
      </c>
      <c r="C54" s="5" t="s">
        <v>82</v>
      </c>
      <c r="D54" s="5">
        <v>150</v>
      </c>
      <c r="E54" s="5">
        <v>15</v>
      </c>
      <c r="F54" s="5" t="s">
        <v>32</v>
      </c>
      <c r="G54" t="b">
        <f>ISBLANK(E54)</f>
        <v>0</v>
      </c>
      <c r="H54" t="str">
        <f>TRIM(B54)</f>
        <v>Sunglasses</v>
      </c>
    </row>
    <row r="55" spans="1:8" x14ac:dyDescent="0.25">
      <c r="A55" s="8" t="s">
        <v>83</v>
      </c>
      <c r="B55" s="8" t="s">
        <v>84</v>
      </c>
      <c r="C55" s="8" t="s">
        <v>85</v>
      </c>
      <c r="D55" s="8"/>
      <c r="E55" s="8">
        <v>10</v>
      </c>
      <c r="F55" s="8" t="s">
        <v>59</v>
      </c>
      <c r="G55" t="b">
        <f>ISBLANK(E55)</f>
        <v>0</v>
      </c>
      <c r="H55" t="str">
        <f>TRIM(B55)</f>
        <v>Camping Tent</v>
      </c>
    </row>
    <row r="56" spans="1:8" x14ac:dyDescent="0.25">
      <c r="A56" s="5" t="s">
        <v>86</v>
      </c>
      <c r="B56" s="5" t="s">
        <v>87</v>
      </c>
      <c r="C56" s="5" t="s">
        <v>88</v>
      </c>
      <c r="D56" s="5">
        <v>700</v>
      </c>
      <c r="E56" s="5">
        <v>50</v>
      </c>
      <c r="F56" s="5" t="s">
        <v>28</v>
      </c>
      <c r="G56" t="b">
        <f>ISBLANK(E56)</f>
        <v>0</v>
      </c>
      <c r="H56" t="str">
        <f>TRIM(B56)</f>
        <v>Camera</v>
      </c>
    </row>
    <row r="57" spans="1:8" x14ac:dyDescent="0.25">
      <c r="A57" s="8" t="s">
        <v>89</v>
      </c>
      <c r="B57" s="8" t="s">
        <v>90</v>
      </c>
      <c r="C57" s="8" t="s">
        <v>91</v>
      </c>
      <c r="D57" s="8">
        <v>80</v>
      </c>
      <c r="E57" s="8">
        <v>20</v>
      </c>
      <c r="F57" s="8" t="s">
        <v>36</v>
      </c>
      <c r="G57" t="b">
        <f>ISBLANK(E57)</f>
        <v>0</v>
      </c>
      <c r="H57" t="str">
        <f>TRIM(B57)</f>
        <v>Microwave</v>
      </c>
    </row>
    <row r="58" spans="1:8" x14ac:dyDescent="0.25">
      <c r="A58" s="5" t="s">
        <v>92</v>
      </c>
      <c r="B58" s="5" t="s">
        <v>93</v>
      </c>
      <c r="C58" s="5" t="s">
        <v>94</v>
      </c>
      <c r="D58" s="5">
        <v>150</v>
      </c>
      <c r="E58" s="5">
        <v>30</v>
      </c>
      <c r="F58" s="5"/>
      <c r="G58" t="b">
        <f>ISBLANK(E58)</f>
        <v>0</v>
      </c>
      <c r="H58" t="str">
        <f>TRIM(B58)</f>
        <v>Fitness Tracker</v>
      </c>
    </row>
    <row r="59" spans="1:8" x14ac:dyDescent="0.25">
      <c r="A59" s="5" t="s">
        <v>95</v>
      </c>
      <c r="B59" s="5" t="s">
        <v>96</v>
      </c>
      <c r="C59" s="5" t="s">
        <v>97</v>
      </c>
      <c r="D59" s="5">
        <v>800</v>
      </c>
      <c r="E59" s="5">
        <v>45</v>
      </c>
      <c r="F59" s="5" t="s">
        <v>28</v>
      </c>
      <c r="G59" t="b">
        <f>ISBLANK(E59)</f>
        <v>0</v>
      </c>
      <c r="H59" t="str">
        <f>TRIM(B59)</f>
        <v>Smartphone</v>
      </c>
    </row>
    <row r="60" spans="1:8" x14ac:dyDescent="0.25">
      <c r="A60" s="8" t="s">
        <v>98</v>
      </c>
      <c r="B60" s="8" t="s">
        <v>81</v>
      </c>
      <c r="C60" s="8" t="s">
        <v>99</v>
      </c>
      <c r="D60" s="8"/>
      <c r="E60" s="8">
        <v>25</v>
      </c>
      <c r="F60" s="8" t="s">
        <v>32</v>
      </c>
      <c r="G60" t="b">
        <f>ISBLANK(E60)</f>
        <v>0</v>
      </c>
      <c r="H60" t="str">
        <f>TRIM(B60)</f>
        <v>Sunglasses</v>
      </c>
    </row>
    <row r="61" spans="1:8" x14ac:dyDescent="0.25">
      <c r="A61" s="5" t="s">
        <v>100</v>
      </c>
      <c r="B61" s="5" t="s">
        <v>51</v>
      </c>
      <c r="C61" s="5" t="s">
        <v>101</v>
      </c>
      <c r="D61" s="5">
        <v>400</v>
      </c>
      <c r="E61" s="5">
        <v>40</v>
      </c>
      <c r="F61" s="5" t="s">
        <v>36</v>
      </c>
      <c r="G61" t="b">
        <f>ISBLANK(E61)</f>
        <v>0</v>
      </c>
      <c r="H61" t="str">
        <f>TRIM(B61)</f>
        <v>Blender</v>
      </c>
    </row>
    <row r="62" spans="1:8" x14ac:dyDescent="0.25">
      <c r="A62" s="5" t="s">
        <v>102</v>
      </c>
      <c r="B62" s="5" t="s">
        <v>103</v>
      </c>
      <c r="C62" s="5" t="s">
        <v>104</v>
      </c>
      <c r="D62" s="5">
        <v>60</v>
      </c>
      <c r="E62" s="5">
        <v>30</v>
      </c>
      <c r="F62" s="5" t="s">
        <v>32</v>
      </c>
      <c r="G62" t="b">
        <f>ISBLANK(E62)</f>
        <v>0</v>
      </c>
      <c r="H62" t="str">
        <f>TRIM(B62)</f>
        <v>Dress</v>
      </c>
    </row>
    <row r="63" spans="1:8" x14ac:dyDescent="0.25">
      <c r="A63" s="8" t="s">
        <v>105</v>
      </c>
      <c r="B63" s="8" t="s">
        <v>106</v>
      </c>
      <c r="C63" s="8" t="s">
        <v>107</v>
      </c>
      <c r="D63" s="8">
        <v>40</v>
      </c>
      <c r="E63" s="8">
        <v>10</v>
      </c>
      <c r="F63" s="8" t="s">
        <v>36</v>
      </c>
      <c r="G63" t="b">
        <f>ISBLANK(E63)</f>
        <v>0</v>
      </c>
      <c r="H63" t="str">
        <f>TRIM(B63)</f>
        <v>Toaster</v>
      </c>
    </row>
    <row r="64" spans="1:8" x14ac:dyDescent="0.25">
      <c r="A64" s="5" t="s">
        <v>108</v>
      </c>
      <c r="B64" s="5" t="s">
        <v>93</v>
      </c>
      <c r="C64" s="5" t="s">
        <v>109</v>
      </c>
      <c r="D64" s="5">
        <v>130</v>
      </c>
      <c r="E64" s="5">
        <v>5</v>
      </c>
      <c r="F64" s="5" t="s">
        <v>28</v>
      </c>
      <c r="G64" t="b">
        <f>ISBLANK(E64)</f>
        <v>0</v>
      </c>
      <c r="H64" t="str">
        <f>TRIM(B64)</f>
        <v>Fitness Tracker</v>
      </c>
    </row>
    <row r="65" spans="1:8" x14ac:dyDescent="0.25">
      <c r="A65" s="8" t="s">
        <v>110</v>
      </c>
      <c r="B65" s="8" t="s">
        <v>111</v>
      </c>
      <c r="C65" s="8" t="s">
        <v>112</v>
      </c>
      <c r="D65" s="8">
        <v>50</v>
      </c>
      <c r="E65" s="8">
        <v>50</v>
      </c>
      <c r="F65" s="8" t="s">
        <v>32</v>
      </c>
      <c r="G65" t="b">
        <f>ISBLANK(E65)</f>
        <v>0</v>
      </c>
      <c r="H65" t="str">
        <f>TRIM(B65)</f>
        <v>Jeans</v>
      </c>
    </row>
    <row r="66" spans="1:8" x14ac:dyDescent="0.25">
      <c r="A66" s="8" t="s">
        <v>113</v>
      </c>
      <c r="B66" s="8" t="s">
        <v>114</v>
      </c>
      <c r="C66" s="8" t="s">
        <v>115</v>
      </c>
      <c r="D66" s="8">
        <v>100</v>
      </c>
      <c r="E66" s="8">
        <v>20</v>
      </c>
      <c r="F66" s="8" t="s">
        <v>75</v>
      </c>
      <c r="G66" t="b">
        <f>ISBLANK(E66)</f>
        <v>0</v>
      </c>
      <c r="H66" t="str">
        <f>TRIM(B66)</f>
        <v>Watch</v>
      </c>
    </row>
  </sheetData>
  <conditionalFormatting sqref="E36:E66 E2:F32">
    <cfRule type="duplicateValues" dxfId="6" priority="7"/>
  </conditionalFormatting>
  <conditionalFormatting sqref="D36:D6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{25C1E7C8-1A41-494F-B964-09B0BBD4FAA4}</x14:id>
        </ext>
      </extLst>
    </cfRule>
  </conditionalFormatting>
  <conditionalFormatting sqref="A35:D66">
    <cfRule type="duplicateValues" dxfId="5" priority="5"/>
  </conditionalFormatting>
  <conditionalFormatting sqref="A36:E66">
    <cfRule type="duplicateValues" dxfId="4" priority="4"/>
  </conditionalFormatting>
  <conditionalFormatting sqref="A2:G32">
    <cfRule type="duplicateValues" dxfId="3" priority="3"/>
  </conditionalFormatting>
  <conditionalFormatting sqref="E2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ellIs" dxfId="2" priority="1" operator="equal">
      <formula>$G$19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C1E7C8-1A41-494F-B964-09B0BBD4FA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D36:D66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RS</dc:creator>
  <cp:lastModifiedBy>Neethu RS</cp:lastModifiedBy>
  <dcterms:created xsi:type="dcterms:W3CDTF">2026-10-25T15:58:21Z</dcterms:created>
  <dcterms:modified xsi:type="dcterms:W3CDTF">2026-10-25T16:08:22Z</dcterms:modified>
</cp:coreProperties>
</file>